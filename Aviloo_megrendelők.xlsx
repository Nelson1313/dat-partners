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kadri\Desktop\"/>
    </mc:Choice>
  </mc:AlternateContent>
  <xr:revisionPtr revIDLastSave="0" documentId="13_ncr:1_{7E6C5791-8DDA-4B73-B6EF-6C5E1D342432}" xr6:coauthVersionLast="47" xr6:coauthVersionMax="47" xr10:uidLastSave="{00000000-0000-0000-0000-000000000000}"/>
  <bookViews>
    <workbookView xWindow="-108" yWindow="-108" windowWidth="23256" windowHeight="13896" xr2:uid="{570FB506-5C34-4A8F-8278-8F6BB6839993}"/>
  </bookViews>
  <sheets>
    <sheet name="Munka1" sheetId="1" r:id="rId1"/>
  </sheets>
  <definedNames>
    <definedName name="_xlnm._FilterDatabase" localSheetId="0" hidden="1">Munka1!$A$1:$T$11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P12" i="1"/>
  <c r="O12" i="1"/>
  <c r="N12" i="1" l="1"/>
  <c r="M12" i="1"/>
</calcChain>
</file>

<file path=xl/sharedStrings.xml><?xml version="1.0" encoding="utf-8"?>
<sst xmlns="http://schemas.openxmlformats.org/spreadsheetml/2006/main" count="96" uniqueCount="70">
  <si>
    <t>Megrendeő neve</t>
  </si>
  <si>
    <t>Címe</t>
  </si>
  <si>
    <t>Megrendelés dátuma</t>
  </si>
  <si>
    <t>Kapcsolattartó neve</t>
  </si>
  <si>
    <t>DAT ügyfélszám</t>
  </si>
  <si>
    <t>A készülék kézbesítés dátuma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</si>
  <si>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</si>
  <si>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</si>
  <si>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</si>
  <si>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</si>
  <si>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</si>
  <si>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</si>
  <si>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</si>
  <si>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</si>
  <si>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</si>
  <si>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 xml:space="preserve">10. </t>
  </si>
  <si>
    <t xml:space="preserve">Tracking number </t>
  </si>
  <si>
    <t>E-mail</t>
  </si>
  <si>
    <t>LUMO Networks Kft.</t>
  </si>
  <si>
    <t>2230 Gyömrő, Üllői út 19.</t>
  </si>
  <si>
    <t xml:space="preserve">tesla@tservice.hu </t>
  </si>
  <si>
    <t>Ihnatisin Zsombor</t>
  </si>
  <si>
    <t>Telefonszám</t>
  </si>
  <si>
    <t>+36 70 221 1555</t>
  </si>
  <si>
    <t>Horváth Csaba EV.</t>
  </si>
  <si>
    <t>1119 Budapest, Szombathelyi tér 4.</t>
  </si>
  <si>
    <t>+36 70 638 9225</t>
  </si>
  <si>
    <t>csaba_wrc@hotmail.com</t>
  </si>
  <si>
    <t>Horváth Csaba</t>
  </si>
  <si>
    <t>Alfa Kárrendező és Magánnyomozó Iroda Kft.</t>
  </si>
  <si>
    <t>2234 Maglód, Homoród u. 1. 4. ép.</t>
  </si>
  <si>
    <t>alfadetekt@gmail.com</t>
  </si>
  <si>
    <t>Lehota Zoltán</t>
  </si>
  <si>
    <t>Készülék díja kiszámlázva</t>
  </si>
  <si>
    <t>Készülék díja utalva</t>
  </si>
  <si>
    <t>Flash teszt darabszám számlázva 2025.12. hónapra</t>
  </si>
  <si>
    <t>+36 70 390 7675</t>
  </si>
  <si>
    <t>Diagnor Kft.</t>
  </si>
  <si>
    <t>9082 Nyúl, Kossuth Lajos u. 85.</t>
  </si>
  <si>
    <t>norbert.kendl@gmail.com</t>
  </si>
  <si>
    <t>Kendl Norbert</t>
  </si>
  <si>
    <t>+36 30 389 2089</t>
  </si>
  <si>
    <t>Flash teszt darabszám számlázva 2026.01. hónapra</t>
  </si>
  <si>
    <t>FlyR Carpert Kft.</t>
  </si>
  <si>
    <t>+36 70 381 9551</t>
  </si>
  <si>
    <t>Balazs.Attila@union.hu</t>
  </si>
  <si>
    <t>Balázs Attila</t>
  </si>
  <si>
    <t>-</t>
  </si>
  <si>
    <t>Flash teszt darabszám számlázva 2026.02. hónapra</t>
  </si>
  <si>
    <t>Mikroflexum Trade Kft.</t>
  </si>
  <si>
    <t>9200 Mosonmagyaróvár, Hársfa u. 15.</t>
  </si>
  <si>
    <t>+36 30 585 8585</t>
  </si>
  <si>
    <t>info@mikroflexum.hu</t>
  </si>
  <si>
    <t>Németh Krisztián</t>
  </si>
  <si>
    <t>Flash teszt darabszám számlázva 2026.03. hónapra</t>
  </si>
  <si>
    <t>Total amount:</t>
  </si>
  <si>
    <t>DAT-s készüléket használja</t>
  </si>
  <si>
    <t>Igen</t>
  </si>
  <si>
    <t>Nem</t>
  </si>
  <si>
    <t>Sándor Zoltán EV.</t>
  </si>
  <si>
    <t>4031 Debrecen Lóskúti út 32/b</t>
  </si>
  <si>
    <t>+36 30 838 6500</t>
  </si>
  <si>
    <t>zoltan.sandor.ev@gmail.com</t>
  </si>
  <si>
    <t>Sándor Zoltán</t>
  </si>
  <si>
    <t>Flash teszt darabszám számlázva 2026.04. hónapra</t>
  </si>
  <si>
    <t>Flash teszt darabszám számlázva 2026.05. hónapra</t>
  </si>
  <si>
    <t>GeoCode_ADD</t>
  </si>
  <si>
    <t>2234 Maglód, Homoród u. 1.</t>
  </si>
  <si>
    <t>1048 Budapest, Megyeri út 222.  4/12.</t>
  </si>
  <si>
    <t>1048 Budapest, Megyeri út 222.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</si>
</sst>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3" fillId="3" borderId="1" xfId="1" applyFill="1" applyBorder="1"/>
    <xf numFmtId="0" fontId="2" fillId="2" borderId="5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fadetekt@gmail.com" TargetMode="External"/><Relationship Id="rId2" Type="http://schemas.openxmlformats.org/officeDocument/2006/relationships/hyperlink" Target="mailto:csaba_wrc@hotmail.com" TargetMode="External"/><Relationship Id="rId1" Type="http://schemas.openxmlformats.org/officeDocument/2006/relationships/hyperlink" Target="mailto:tesla@tservice.hu" TargetMode="External"/><Relationship Id="rId5" Type="http://schemas.openxmlformats.org/officeDocument/2006/relationships/hyperlink" Target="mailto:zoltan.sandor.ev@gmail.com" TargetMode="External"/><Relationship Id="rId4" Type="http://schemas.openxmlformats.org/officeDocument/2006/relationships/hyperlink" Target="mailto:norbert.kend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2FBC-39B0-4C3F-A981-05E2931367B9}">
  <dimension ref="A1:T19"/>
  <sheetViews>
    <sheetView tabSelected="1" workbookViewId="0">
      <selection activeCell="D7" sqref="D7"/>
    </sheetView>
  </sheetViews>
  <sheetFormatPr defaultRowHeight="14.4" x14ac:dyDescent="0.3"/>
  <cols>
    <col min="1" max="1" width="3.88671875" bestFit="1" customWidth="1"/>
    <col min="2" max="2" width="36.6640625" bestFit="1" customWidth="1"/>
    <col min="3" max="3" width="31.21875" bestFit="1" customWidth="1"/>
    <col min="4" max="4" width="31.21875" customWidth="1"/>
    <col min="5" max="5" width="22.44140625" bestFit="1" customWidth="1"/>
    <col min="6" max="6" width="22.44140625" customWidth="1"/>
    <col min="7" max="7" width="24.6640625" bestFit="1" customWidth="1"/>
    <col min="8" max="8" width="22.21875" bestFit="1" customWidth="1"/>
    <col min="9" max="9" width="18" bestFit="1" customWidth="1"/>
    <col min="10" max="10" width="27.44140625" bestFit="1" customWidth="1"/>
    <col min="11" max="11" width="22.109375" bestFit="1" customWidth="1"/>
    <col min="12" max="12" width="22.109375" customWidth="1"/>
    <col min="13" max="18" width="21.44140625" customWidth="1"/>
    <col min="19" max="19" width="29.33203125" bestFit="1" customWidth="1"/>
    <col min="20" max="20" width="19.21875" bestFit="1" customWidth="1"/>
  </cols>
  <sheetData>
    <row r="1" spans="1:20" s="2" customFormat="1" ht="44.4" thickTop="1" thickBot="1" x14ac:dyDescent="0.35">
      <c r="A1" s="3"/>
      <c r="B1" s="6" t="s">
        <v>0</v>
      </c>
      <c r="C1" s="7" t="s">
        <v>1</v>
      </c>
      <c r="D1" s="7" t="s">
        <v>66</v>
      </c>
      <c r="E1" s="7" t="s">
        <v>2</v>
      </c>
      <c r="F1" s="7" t="s">
        <v>22</v>
      </c>
      <c r="G1" s="7" t="s">
        <v>17</v>
      </c>
      <c r="H1" s="7" t="s">
        <v>3</v>
      </c>
      <c r="I1" s="7" t="s">
        <v>4</v>
      </c>
      <c r="J1" s="7" t="s">
        <v>33</v>
      </c>
      <c r="K1" s="7" t="s">
        <v>34</v>
      </c>
      <c r="L1" s="15" t="s">
        <v>56</v>
      </c>
      <c r="M1" s="15" t="s">
        <v>35</v>
      </c>
      <c r="N1" s="15" t="s">
        <v>42</v>
      </c>
      <c r="O1" s="15" t="s">
        <v>48</v>
      </c>
      <c r="P1" s="15" t="s">
        <v>54</v>
      </c>
      <c r="Q1" s="15" t="s">
        <v>64</v>
      </c>
      <c r="R1" s="15" t="s">
        <v>65</v>
      </c>
      <c r="S1" s="7" t="s">
        <v>5</v>
      </c>
      <c r="T1" s="7" t="s">
        <v>16</v>
      </c>
    </row>
    <row r="2" spans="1:20" s="1" customFormat="1" ht="15.6" thickTop="1" thickBot="1" x14ac:dyDescent="0.35">
      <c r="A2" s="5" t="s">
        <v>6</v>
      </c>
      <c r="B2" s="8" t="s">
        <v>18</v>
      </c>
      <c r="C2" s="8" t="s">
        <v>19</v>
      </c>
      <c r="D2" s="8" t="s">
        <v>19</v>
      </c>
      <c r="E2" s="10">
        <v>45975</v>
      </c>
      <c r="F2" s="12" t="s">
        <v>23</v>
      </c>
      <c r="G2" s="11" t="s">
        <v>20</v>
      </c>
      <c r="H2" s="8" t="s">
        <v>21</v>
      </c>
      <c r="I2" s="8">
        <v>3601126</v>
      </c>
      <c r="J2" s="10">
        <v>45978</v>
      </c>
      <c r="K2" s="10">
        <v>45979</v>
      </c>
      <c r="L2" s="10" t="s">
        <v>58</v>
      </c>
      <c r="M2" s="16">
        <v>3</v>
      </c>
      <c r="N2" s="16">
        <v>0</v>
      </c>
      <c r="O2" s="16">
        <v>0</v>
      </c>
      <c r="P2" s="16">
        <v>2</v>
      </c>
      <c r="Q2" s="16">
        <v>2</v>
      </c>
      <c r="R2" s="16"/>
      <c r="S2" s="8"/>
      <c r="T2" s="8"/>
    </row>
    <row r="3" spans="1:20" ht="15.6" thickTop="1" thickBot="1" x14ac:dyDescent="0.35">
      <c r="A3" s="5" t="s">
        <v>7</v>
      </c>
      <c r="B3" s="8" t="s">
        <v>24</v>
      </c>
      <c r="C3" s="9" t="s">
        <v>25</v>
      </c>
      <c r="D3" s="9" t="s">
        <v>25</v>
      </c>
      <c r="E3" s="10">
        <v>45980</v>
      </c>
      <c r="F3" s="13" t="s">
        <v>26</v>
      </c>
      <c r="G3" s="14" t="s">
        <v>27</v>
      </c>
      <c r="H3" s="8" t="s">
        <v>28</v>
      </c>
      <c r="I3" s="8">
        <v>3601033</v>
      </c>
      <c r="J3" s="10">
        <v>45980</v>
      </c>
      <c r="K3" s="10">
        <v>45981</v>
      </c>
      <c r="L3" s="10" t="s">
        <v>58</v>
      </c>
      <c r="M3" s="16">
        <v>1</v>
      </c>
      <c r="N3" s="16">
        <v>0</v>
      </c>
      <c r="O3" s="16">
        <v>0</v>
      </c>
      <c r="P3" s="16">
        <v>0</v>
      </c>
      <c r="Q3" s="16">
        <v>0</v>
      </c>
      <c r="R3" s="16"/>
      <c r="S3" s="9"/>
      <c r="T3" s="9"/>
    </row>
    <row r="4" spans="1:20" ht="15.6" thickTop="1" thickBot="1" x14ac:dyDescent="0.35">
      <c r="A4" s="5" t="s">
        <v>8</v>
      </c>
      <c r="B4" s="8" t="s">
        <v>29</v>
      </c>
      <c r="C4" s="8" t="s">
        <v>30</v>
      </c>
      <c r="D4" s="8" t="s">
        <v>67</v>
      </c>
      <c r="E4" s="10">
        <v>46028</v>
      </c>
      <c r="F4" s="13" t="s">
        <v>36</v>
      </c>
      <c r="G4" s="11" t="s">
        <v>31</v>
      </c>
      <c r="H4" s="8" t="s">
        <v>32</v>
      </c>
      <c r="I4" s="8">
        <v>3601302</v>
      </c>
      <c r="J4" s="10">
        <v>46028</v>
      </c>
      <c r="K4" s="10">
        <v>46029</v>
      </c>
      <c r="L4" s="10" t="s">
        <v>58</v>
      </c>
      <c r="M4" s="16" t="s">
        <v>47</v>
      </c>
      <c r="N4" s="16">
        <v>1</v>
      </c>
      <c r="O4" s="16">
        <v>3</v>
      </c>
      <c r="P4" s="16">
        <v>2</v>
      </c>
      <c r="Q4" s="16">
        <v>2</v>
      </c>
      <c r="R4" s="16"/>
      <c r="S4" s="10">
        <v>46043</v>
      </c>
      <c r="T4" s="9"/>
    </row>
    <row r="5" spans="1:20" ht="15.6" thickTop="1" thickBot="1" x14ac:dyDescent="0.35">
      <c r="A5" s="5" t="s">
        <v>9</v>
      </c>
      <c r="B5" s="8" t="s">
        <v>37</v>
      </c>
      <c r="C5" s="8" t="s">
        <v>38</v>
      </c>
      <c r="D5" s="8" t="s">
        <v>38</v>
      </c>
      <c r="E5" s="10">
        <v>46041</v>
      </c>
      <c r="F5" s="13" t="s">
        <v>41</v>
      </c>
      <c r="G5" s="14" t="s">
        <v>39</v>
      </c>
      <c r="H5" s="8" t="s">
        <v>40</v>
      </c>
      <c r="I5" s="9"/>
      <c r="J5" s="9"/>
      <c r="K5" s="9"/>
      <c r="L5" s="10" t="s">
        <v>58</v>
      </c>
      <c r="M5" s="16" t="s">
        <v>47</v>
      </c>
      <c r="N5" s="16" t="s">
        <v>47</v>
      </c>
      <c r="O5" s="16" t="s">
        <v>47</v>
      </c>
      <c r="P5" s="16">
        <v>0</v>
      </c>
      <c r="Q5" s="16">
        <v>0</v>
      </c>
      <c r="R5" s="16"/>
      <c r="S5" s="9"/>
      <c r="T5" s="9"/>
    </row>
    <row r="6" spans="1:20" ht="15.6" thickTop="1" thickBot="1" x14ac:dyDescent="0.35">
      <c r="A6" s="5" t="s">
        <v>10</v>
      </c>
      <c r="B6" s="8" t="s">
        <v>43</v>
      </c>
      <c r="C6" s="8" t="s">
        <v>68</v>
      </c>
      <c r="D6" s="8" t="s">
        <v>69</v>
      </c>
      <c r="E6" s="10">
        <v>46092</v>
      </c>
      <c r="F6" s="13" t="s">
        <v>44</v>
      </c>
      <c r="G6" s="11" t="s">
        <v>45</v>
      </c>
      <c r="H6" s="8" t="s">
        <v>46</v>
      </c>
      <c r="I6" s="8">
        <v>3700039</v>
      </c>
      <c r="J6" s="8" t="s">
        <v>47</v>
      </c>
      <c r="K6" s="8" t="s">
        <v>47</v>
      </c>
      <c r="L6" s="20" t="s">
        <v>57</v>
      </c>
      <c r="M6" s="16" t="s">
        <v>47</v>
      </c>
      <c r="N6" s="16" t="s">
        <v>47</v>
      </c>
      <c r="O6" s="16" t="s">
        <v>47</v>
      </c>
      <c r="P6" s="16">
        <v>1</v>
      </c>
      <c r="Q6" s="16">
        <v>0</v>
      </c>
      <c r="R6" s="16"/>
      <c r="S6" s="9"/>
      <c r="T6" s="9"/>
    </row>
    <row r="7" spans="1:20" ht="15.6" thickTop="1" thickBot="1" x14ac:dyDescent="0.35">
      <c r="A7" s="5" t="s">
        <v>11</v>
      </c>
      <c r="B7" s="8" t="s">
        <v>49</v>
      </c>
      <c r="C7" s="9" t="s">
        <v>50</v>
      </c>
      <c r="D7" s="9" t="s">
        <v>50</v>
      </c>
      <c r="E7" s="10">
        <v>46100</v>
      </c>
      <c r="F7" s="8" t="s">
        <v>51</v>
      </c>
      <c r="G7" s="11" t="s">
        <v>52</v>
      </c>
      <c r="H7" s="8" t="s">
        <v>53</v>
      </c>
      <c r="I7" s="8">
        <v>3601329</v>
      </c>
      <c r="J7" s="10">
        <v>46100</v>
      </c>
      <c r="K7" s="10">
        <v>46111</v>
      </c>
      <c r="L7" s="10" t="s">
        <v>58</v>
      </c>
      <c r="M7" s="16" t="s">
        <v>47</v>
      </c>
      <c r="N7" s="16" t="s">
        <v>47</v>
      </c>
      <c r="O7" s="16" t="s">
        <v>47</v>
      </c>
      <c r="P7" s="16">
        <v>0</v>
      </c>
      <c r="Q7" s="16">
        <v>0</v>
      </c>
      <c r="R7" s="16"/>
      <c r="S7" s="9"/>
      <c r="T7" s="9"/>
    </row>
    <row r="8" spans="1:20" ht="15.6" thickTop="1" thickBot="1" x14ac:dyDescent="0.35">
      <c r="A8" s="5" t="s">
        <v>12</v>
      </c>
      <c r="B8" s="8" t="s">
        <v>59</v>
      </c>
      <c r="C8" s="8" t="s">
        <v>60</v>
      </c>
      <c r="D8" s="8" t="s">
        <v>60</v>
      </c>
      <c r="E8" s="10">
        <v>46150</v>
      </c>
      <c r="F8" s="8" t="s">
        <v>61</v>
      </c>
      <c r="G8" s="11" t="s">
        <v>62</v>
      </c>
      <c r="H8" s="8" t="s">
        <v>63</v>
      </c>
      <c r="I8" s="8">
        <v>3601342</v>
      </c>
      <c r="J8" s="10">
        <v>46150</v>
      </c>
      <c r="K8" s="10">
        <v>46152</v>
      </c>
      <c r="L8" s="8" t="s">
        <v>58</v>
      </c>
      <c r="M8" s="16" t="s">
        <v>47</v>
      </c>
      <c r="N8" s="16" t="s">
        <v>47</v>
      </c>
      <c r="O8" s="16" t="s">
        <v>47</v>
      </c>
      <c r="P8" s="16" t="s">
        <v>47</v>
      </c>
      <c r="Q8" s="16" t="s">
        <v>47</v>
      </c>
      <c r="R8" s="16"/>
      <c r="S8" s="10">
        <v>46161</v>
      </c>
      <c r="T8" s="9"/>
    </row>
    <row r="9" spans="1:20" ht="15.6" thickTop="1" thickBot="1" x14ac:dyDescent="0.35">
      <c r="A9" s="5" t="s">
        <v>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17"/>
      <c r="O9" s="17"/>
      <c r="P9" s="17"/>
      <c r="Q9" s="17"/>
      <c r="R9" s="17"/>
      <c r="S9" s="9"/>
      <c r="T9" s="9"/>
    </row>
    <row r="10" spans="1:20" ht="15.6" thickTop="1" thickBot="1" x14ac:dyDescent="0.35">
      <c r="A10" s="5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7"/>
      <c r="N10" s="17"/>
      <c r="O10" s="17"/>
      <c r="P10" s="17"/>
      <c r="Q10" s="17"/>
      <c r="R10" s="17"/>
      <c r="S10" s="9"/>
      <c r="T10" s="9"/>
    </row>
    <row r="11" spans="1:20" ht="15.6" thickTop="1" thickBot="1" x14ac:dyDescent="0.35">
      <c r="A11" s="5" t="s">
        <v>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17"/>
      <c r="O11" s="17"/>
      <c r="P11" s="17"/>
      <c r="Q11" s="17"/>
      <c r="R11" s="17"/>
      <c r="S11" s="9"/>
      <c r="T11" s="9"/>
    </row>
    <row r="12" spans="1:20" ht="15" thickTop="1" x14ac:dyDescent="0.3">
      <c r="K12" s="18" t="s">
        <v>55</v>
      </c>
      <c r="L12" s="18"/>
      <c r="M12" s="19">
        <f>SUM(M2:M4)</f>
        <v>4</v>
      </c>
      <c r="N12" s="19">
        <f t="shared" ref="N12" si="0">SUM(N2:N4)</f>
        <v>1</v>
      </c>
      <c r="O12" s="19">
        <f>SUM(O2:O4)</f>
        <v>3</v>
      </c>
      <c r="P12" s="19">
        <f>SUM(P2:P7)</f>
        <v>5</v>
      </c>
      <c r="Q12" s="19">
        <f>SUM(Q2:Q7)</f>
        <v>4</v>
      </c>
      <c r="R12" s="21"/>
    </row>
    <row r="19" spans="5:5" x14ac:dyDescent="0.3">
      <c r="E19" s="4"/>
    </row>
  </sheetData>
  <phoneticPr fontId="1" type="noConversion"/>
  <hyperlinks>
    <hyperlink ref="G2" r:id="rId1" xr:uid="{7AFAC684-AEFF-47D3-A982-15FD1E9DA5E7}"/>
    <hyperlink ref="G3" r:id="rId2" xr:uid="{87BA3FA1-7640-4795-9021-FF88BD1A1121}"/>
    <hyperlink ref="G4" r:id="rId3" xr:uid="{A539D76A-7CA8-4BDF-B755-100E200CF9AD}"/>
    <hyperlink ref="G5" r:id="rId4" xr:uid="{D4928C0B-C576-47BB-BC4F-778A584FE016}"/>
    <hyperlink ref="G8" r:id="rId5" xr:uid="{1426C38F-6BCE-465F-AA76-3E6410E038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Vaszil, Dorka</dc:creator>
  <cp:lastModifiedBy>Hasko, Adrian</cp:lastModifiedBy>
  <dcterms:created xsi:type="dcterms:W3CDTF">2025-11-19T08:54:02Z</dcterms:created>
  <dcterms:modified xsi:type="dcterms:W3CDTF">2026-05-26T11:59:37Z</dcterms:modified>
</cp:coreProperties>
</file>